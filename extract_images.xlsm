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91AB0A61-D3A2-4436-ADD8-199250B7293A}" xr6:coauthVersionLast="47" xr6:coauthVersionMax="47" xr10:uidLastSave="{00000000-0000-0000-0000-000000000000}"/>
  <bookViews>
    <workbookView xWindow="-120" yWindow="-120" windowWidth="19440" windowHeight="10590" activeTab="2" xr2:uid="{87178729-3B53-4775-9E3E-547B30E7D6AE}"/>
  </bookViews>
  <sheets>
    <sheet name="params" sheetId="4" r:id="rId1"/>
    <sheet name="ranges" sheetId="2" r:id="rId2"/>
    <sheet name="params_original" sheetId="1" r:id="rId3"/>
    <sheet name="ranges_original" sheetId="3" r:id="rId4"/>
  </sheets>
  <definedNames>
    <definedName name="_xlnm.Print_Area" localSheetId="1">ranges!#REF!</definedName>
    <definedName name="_xlnm.Print_Area" localSheetId="3">ranges_original!$B$1:$B$3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4" l="1"/>
  <c r="J2" i="4"/>
  <c r="E2" i="4"/>
  <c r="E2" i="1" l="1"/>
  <c r="J2" i="1"/>
  <c r="I3" i="1"/>
</calcChain>
</file>

<file path=xl/sharedStrings.xml><?xml version="1.0" encoding="utf-8"?>
<sst xmlns="http://schemas.openxmlformats.org/spreadsheetml/2006/main" count="199" uniqueCount="90">
  <si>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</si>
  <si>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</si>
  <si>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</si>
  <si>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</si>
  <si>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</si>
  <si>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</si>
  <si>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</si>
  <si>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</si>
  <si>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</si>
  <si>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</si>
  <si>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</si>
  <si>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</si>
  <si>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</si>
  <si>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</si>
  <si>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</si>
  <si>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</si>
  <si>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</si>
  <si>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</si>
  <si>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</si>
  <si>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</si>
  <si>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</si>
  <si>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</si>
  <si>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</si>
  <si>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</si>
  <si>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</si>
  <si>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</si>
  <si>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</si>
  <si>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</si>
  <si>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</si>
  <si>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</si>
  <si>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</si>
  <si>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</si>
  <si>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</si>
  <si>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</si>
  <si>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</si>
  <si>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</si>
  <si>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</si>
  <si>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</si>
  <si>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</si>
  <si>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</si>
  <si>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</si>
  <si>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</si>
  <si>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</si>
  <si>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</si>
  <si>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</si>
  <si>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</si>
  <si>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</si>
  <si>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</si>
  <si>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</si>
  <si>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</si>
  <si>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</si>
  <si>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</si>
  <si>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</si>
  <si>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</si>
  <si>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</si>
  <si>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</si>
  <si>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</si>
  <si>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</si>
  <si>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</si>
  <si>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</si>
  <si>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</si>
  <si>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</si>
  <si>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</si>
  <si>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J17:J33</t>
  </si>
  <si>
    <t>C64:C70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</si>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</sst>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2:M38"/>
  <sheetViews>
    <sheetView topLeftCell="C6" workbookViewId="0">
      <selection activeCell="C18" sqref="C18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3" x14ac:dyDescent="0.25">
      <c r="B2" t="s">
        <v>0</v>
      </c>
      <c r="C2" t="s">
        <v>89</v>
      </c>
      <c r="D2" t="s">
        <v>32</v>
      </c>
      <c r="E2" t="str">
        <f>$C$2&amp;D2</f>
        <v>G:\HQ\dgof-pru\Data\SES Monitoring Dashboard\data_for_web\monitoring_files\2022\\ceff\</v>
      </c>
      <c r="I2" t="s">
        <v>33</v>
      </c>
      <c r="J2" t="str">
        <f>$C$2&amp;I2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B2:M8"/>
  <sheetViews>
    <sheetView zoomScale="90" zoomScaleNormal="90" workbookViewId="0">
      <selection activeCell="M2" sqref="M2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2:13" ht="36.75" customHeight="1" x14ac:dyDescent="0.25">
      <c r="B2" s="3" t="s">
        <v>53</v>
      </c>
      <c r="C2" s="3" t="s">
        <v>58</v>
      </c>
      <c r="D2" t="s">
        <v>54</v>
      </c>
      <c r="E2" t="s">
        <v>79</v>
      </c>
      <c r="F2" t="s">
        <v>55</v>
      </c>
      <c r="G2" t="s">
        <v>79</v>
      </c>
      <c r="H2" t="s">
        <v>56</v>
      </c>
      <c r="I2" t="s">
        <v>69</v>
      </c>
      <c r="J2" t="s">
        <v>57</v>
      </c>
      <c r="K2" t="s">
        <v>59</v>
      </c>
      <c r="L2" t="s">
        <v>38</v>
      </c>
      <c r="M2" t="s">
        <v>66</v>
      </c>
    </row>
    <row r="3" spans="2:13" x14ac:dyDescent="0.25">
      <c r="C3" t="s">
        <v>74</v>
      </c>
      <c r="E3" t="s">
        <v>80</v>
      </c>
      <c r="G3" t="s">
        <v>87</v>
      </c>
      <c r="I3" t="s">
        <v>70</v>
      </c>
      <c r="L3" t="s">
        <v>43</v>
      </c>
    </row>
    <row r="4" spans="2:13" x14ac:dyDescent="0.25">
      <c r="C4" t="s">
        <v>75</v>
      </c>
      <c r="E4" t="s">
        <v>81</v>
      </c>
      <c r="G4" t="s">
        <v>86</v>
      </c>
      <c r="I4" t="s">
        <v>71</v>
      </c>
      <c r="L4" t="s">
        <v>51</v>
      </c>
    </row>
    <row r="5" spans="2:13" x14ac:dyDescent="0.25">
      <c r="C5" t="s">
        <v>76</v>
      </c>
      <c r="E5" t="s">
        <v>82</v>
      </c>
      <c r="G5" t="s">
        <v>88</v>
      </c>
      <c r="I5" t="s">
        <v>72</v>
      </c>
    </row>
    <row r="6" spans="2:13" x14ac:dyDescent="0.25">
      <c r="C6" t="s">
        <v>77</v>
      </c>
      <c r="E6" t="s">
        <v>83</v>
      </c>
      <c r="G6" t="s">
        <v>83</v>
      </c>
      <c r="I6" t="s">
        <v>73</v>
      </c>
    </row>
    <row r="7" spans="2:13" x14ac:dyDescent="0.25">
      <c r="C7" t="s">
        <v>78</v>
      </c>
      <c r="E7" t="s">
        <v>84</v>
      </c>
    </row>
    <row r="8" spans="2:13" x14ac:dyDescent="0.25">
      <c r="E8" t="s">
        <v>85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M38"/>
  <sheetViews>
    <sheetView tabSelected="1" topLeftCell="C6" workbookViewId="0">
      <selection activeCell="C19" sqref="C19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3" x14ac:dyDescent="0.25">
      <c r="B2" t="s">
        <v>0</v>
      </c>
      <c r="C2" t="s">
        <v>89</v>
      </c>
      <c r="D2" t="s">
        <v>32</v>
      </c>
      <c r="E2" t="str">
        <f>$C$2&amp;D2</f>
        <v>G:\HQ\dgof-pru\Data\SES Monitoring Dashboard\data_for_web\monitoring_files\2022\\ceff\</v>
      </c>
      <c r="I2" t="s">
        <v>33</v>
      </c>
      <c r="J2" t="str">
        <f>$C$2&amp;I2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36</v>
      </c>
      <c r="G10">
        <v>1</v>
      </c>
      <c r="I10" t="s">
        <v>36</v>
      </c>
      <c r="J10">
        <v>1</v>
      </c>
      <c r="L10" t="s">
        <v>36</v>
      </c>
      <c r="M10">
        <v>1</v>
      </c>
    </row>
    <row r="11" spans="2:13" x14ac:dyDescent="0.25">
      <c r="B11" s="2" t="s">
        <v>4</v>
      </c>
      <c r="C11">
        <v>2</v>
      </c>
      <c r="F11" t="s">
        <v>37</v>
      </c>
      <c r="I11" t="s">
        <v>37</v>
      </c>
      <c r="L11" t="s">
        <v>37</v>
      </c>
    </row>
    <row r="12" spans="2:13" x14ac:dyDescent="0.25">
      <c r="B12" s="1" t="s">
        <v>5</v>
      </c>
      <c r="C12">
        <v>0</v>
      </c>
      <c r="F12" t="s">
        <v>38</v>
      </c>
      <c r="I12" t="s">
        <v>38</v>
      </c>
      <c r="L12" t="s">
        <v>38</v>
      </c>
    </row>
    <row r="13" spans="2:13" x14ac:dyDescent="0.25">
      <c r="B13" s="2" t="s">
        <v>6</v>
      </c>
      <c r="C13">
        <v>0</v>
      </c>
      <c r="F13" t="s">
        <v>39</v>
      </c>
      <c r="I13" t="s">
        <v>39</v>
      </c>
      <c r="L13" t="s">
        <v>39</v>
      </c>
    </row>
    <row r="14" spans="2:13" x14ac:dyDescent="0.25">
      <c r="B14" s="1" t="s">
        <v>7</v>
      </c>
      <c r="C14">
        <v>0</v>
      </c>
      <c r="F14" t="s">
        <v>41</v>
      </c>
      <c r="L14" t="s">
        <v>41</v>
      </c>
    </row>
    <row r="15" spans="2:13" x14ac:dyDescent="0.25">
      <c r="B15" s="2" t="s">
        <v>8</v>
      </c>
      <c r="C15">
        <v>1</v>
      </c>
      <c r="F15" t="s">
        <v>42</v>
      </c>
      <c r="L15" t="s">
        <v>42</v>
      </c>
    </row>
    <row r="16" spans="2:13" x14ac:dyDescent="0.25">
      <c r="B16" s="1" t="s">
        <v>9</v>
      </c>
      <c r="C16">
        <v>1</v>
      </c>
      <c r="F16" t="s">
        <v>43</v>
      </c>
      <c r="L16" t="s">
        <v>43</v>
      </c>
    </row>
    <row r="17" spans="2:12" x14ac:dyDescent="0.25">
      <c r="B17" s="2" t="s">
        <v>10</v>
      </c>
      <c r="C17">
        <v>1</v>
      </c>
      <c r="F17" t="s">
        <v>44</v>
      </c>
      <c r="L17" t="s">
        <v>44</v>
      </c>
    </row>
    <row r="18" spans="2:12" x14ac:dyDescent="0.25">
      <c r="B18" s="1" t="s">
        <v>11</v>
      </c>
      <c r="C18">
        <v>1</v>
      </c>
      <c r="F18" t="s">
        <v>45</v>
      </c>
      <c r="L18" t="s">
        <v>49</v>
      </c>
    </row>
    <row r="19" spans="2:12" x14ac:dyDescent="0.25">
      <c r="B19" s="2" t="s">
        <v>12</v>
      </c>
      <c r="C19">
        <v>2</v>
      </c>
      <c r="L19" t="s">
        <v>50</v>
      </c>
    </row>
    <row r="20" spans="2:12" x14ac:dyDescent="0.25">
      <c r="B20" s="1" t="s">
        <v>13</v>
      </c>
      <c r="C20">
        <v>1</v>
      </c>
      <c r="L20" t="s">
        <v>51</v>
      </c>
    </row>
    <row r="21" spans="2:12" x14ac:dyDescent="0.25">
      <c r="B21" s="2" t="s">
        <v>14</v>
      </c>
      <c r="C21">
        <v>1</v>
      </c>
      <c r="L21" t="s">
        <v>52</v>
      </c>
    </row>
    <row r="22" spans="2:12" x14ac:dyDescent="0.25">
      <c r="B22" s="1" t="s">
        <v>15</v>
      </c>
      <c r="C22">
        <v>1</v>
      </c>
      <c r="L22" t="s">
        <v>45</v>
      </c>
    </row>
    <row r="23" spans="2:12" x14ac:dyDescent="0.25">
      <c r="B23" s="2" t="s">
        <v>16</v>
      </c>
      <c r="C23">
        <v>1</v>
      </c>
    </row>
    <row r="24" spans="2:12" x14ac:dyDescent="0.25">
      <c r="B24" s="1" t="s">
        <v>17</v>
      </c>
      <c r="C24">
        <v>2</v>
      </c>
    </row>
    <row r="25" spans="2:12" x14ac:dyDescent="0.25">
      <c r="B25" s="2" t="s">
        <v>18</v>
      </c>
      <c r="C25">
        <v>1</v>
      </c>
    </row>
    <row r="26" spans="2:12" x14ac:dyDescent="0.25">
      <c r="B26" s="1" t="s">
        <v>19</v>
      </c>
      <c r="C26">
        <v>0</v>
      </c>
    </row>
    <row r="27" spans="2:12" x14ac:dyDescent="0.25">
      <c r="B27" s="2" t="s">
        <v>20</v>
      </c>
      <c r="C27">
        <v>1</v>
      </c>
    </row>
    <row r="28" spans="2:12" x14ac:dyDescent="0.25">
      <c r="B28" s="1" t="s">
        <v>21</v>
      </c>
      <c r="C28">
        <v>1</v>
      </c>
    </row>
    <row r="29" spans="2:12" x14ac:dyDescent="0.25">
      <c r="B29" s="2" t="s">
        <v>22</v>
      </c>
      <c r="C29">
        <v>1</v>
      </c>
    </row>
    <row r="30" spans="2:12" x14ac:dyDescent="0.25">
      <c r="B30" s="1" t="s">
        <v>23</v>
      </c>
      <c r="C30">
        <v>2</v>
      </c>
    </row>
    <row r="31" spans="2:12" x14ac:dyDescent="0.25">
      <c r="B31" s="2" t="s">
        <v>24</v>
      </c>
      <c r="C31">
        <v>1</v>
      </c>
    </row>
    <row r="32" spans="2:12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U8"/>
  <sheetViews>
    <sheetView zoomScale="90" zoomScaleNormal="90" workbookViewId="0">
      <selection activeCell="L15" sqref="L15"/>
    </sheetView>
  </sheetViews>
  <sheetFormatPr defaultRowHeight="15" x14ac:dyDescent="0.25"/>
  <cols>
    <col min="2" max="2" width="10.140625" bestFit="1" customWidth="1"/>
    <col min="13" max="13" width="10.140625" bestFit="1" customWidth="1"/>
  </cols>
  <sheetData>
    <row r="2" spans="2:21" ht="36.75" customHeight="1" x14ac:dyDescent="0.25">
      <c r="B2" s="3" t="s">
        <v>53</v>
      </c>
      <c r="C2" s="3" t="s">
        <v>58</v>
      </c>
      <c r="D2" t="s">
        <v>54</v>
      </c>
      <c r="E2" t="s">
        <v>79</v>
      </c>
      <c r="F2" t="s">
        <v>55</v>
      </c>
      <c r="G2" t="s">
        <v>79</v>
      </c>
      <c r="H2" t="s">
        <v>56</v>
      </c>
      <c r="I2" t="s">
        <v>69</v>
      </c>
      <c r="J2" t="s">
        <v>57</v>
      </c>
      <c r="K2" t="s">
        <v>59</v>
      </c>
      <c r="L2" t="s">
        <v>36</v>
      </c>
      <c r="M2" t="s">
        <v>61</v>
      </c>
      <c r="N2" t="s">
        <v>37</v>
      </c>
      <c r="O2" t="s">
        <v>60</v>
      </c>
      <c r="P2" t="s">
        <v>38</v>
      </c>
      <c r="Q2" t="s">
        <v>65</v>
      </c>
      <c r="R2" t="s">
        <v>39</v>
      </c>
      <c r="S2" t="s">
        <v>66</v>
      </c>
      <c r="T2" t="s">
        <v>45</v>
      </c>
      <c r="U2" t="s">
        <v>67</v>
      </c>
    </row>
    <row r="3" spans="2:21" x14ac:dyDescent="0.25">
      <c r="C3" t="s">
        <v>74</v>
      </c>
      <c r="E3" t="s">
        <v>80</v>
      </c>
      <c r="G3" t="s">
        <v>87</v>
      </c>
      <c r="I3" t="s">
        <v>70</v>
      </c>
      <c r="L3" t="s">
        <v>41</v>
      </c>
      <c r="M3" t="s">
        <v>62</v>
      </c>
      <c r="N3" t="s">
        <v>42</v>
      </c>
      <c r="O3" t="s">
        <v>63</v>
      </c>
      <c r="P3" t="s">
        <v>43</v>
      </c>
      <c r="Q3" t="s">
        <v>66</v>
      </c>
      <c r="R3" t="s">
        <v>44</v>
      </c>
      <c r="U3" t="s">
        <v>68</v>
      </c>
    </row>
    <row r="4" spans="2:21" x14ac:dyDescent="0.25">
      <c r="C4" t="s">
        <v>75</v>
      </c>
      <c r="E4" t="s">
        <v>81</v>
      </c>
      <c r="G4" t="s">
        <v>86</v>
      </c>
      <c r="I4" t="s">
        <v>71</v>
      </c>
      <c r="L4" t="s">
        <v>49</v>
      </c>
      <c r="N4" t="s">
        <v>50</v>
      </c>
      <c r="O4" t="s">
        <v>64</v>
      </c>
      <c r="P4" t="s">
        <v>51</v>
      </c>
      <c r="R4" t="s">
        <v>52</v>
      </c>
    </row>
    <row r="5" spans="2:21" x14ac:dyDescent="0.25">
      <c r="C5" t="s">
        <v>76</v>
      </c>
      <c r="E5" t="s">
        <v>82</v>
      </c>
      <c r="G5" t="s">
        <v>88</v>
      </c>
      <c r="I5" t="s">
        <v>72</v>
      </c>
    </row>
    <row r="6" spans="2:21" x14ac:dyDescent="0.25">
      <c r="C6" t="s">
        <v>77</v>
      </c>
      <c r="E6" t="s">
        <v>83</v>
      </c>
      <c r="G6" t="s">
        <v>83</v>
      </c>
      <c r="I6" t="s">
        <v>73</v>
      </c>
    </row>
    <row r="7" spans="2:21" x14ac:dyDescent="0.25">
      <c r="C7" t="s">
        <v>78</v>
      </c>
      <c r="E7" t="s">
        <v>84</v>
      </c>
    </row>
    <row r="8" spans="2:21" x14ac:dyDescent="0.25">
      <c r="E8" t="s">
        <v>85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params_original</vt:lpstr>
      <vt:lpstr>ranges_original</vt:lpstr>
      <vt:lpstr>ranges_original!Print_Area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2024-07-06T18:12:06Z</dcterms:modified>
</cp:coreProperties>
</file>